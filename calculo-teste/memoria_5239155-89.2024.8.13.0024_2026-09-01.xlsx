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ritérios" sheetId="2" state="visible" r:id="rId2"/>
    <sheet name="P1 Reembolso UTI móvel" sheetId="3" state="visible" r:id="rId3"/>
    <sheet name="P2 Dano moral (arbitrado na sen" sheetId="4" state="visible" r:id="rId4"/>
    <sheet name="Abatimentos" sheetId="5" state="visible" r:id="rId5"/>
    <sheet name="Fon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/mm/yyyy"/>
    <numFmt numFmtId="166" formatCode="mm/yyyy"/>
    <numFmt numFmtId="167" formatCode="_-&quot;R$&quot; * #,##0.00_-;-&quot;R$&quot; * #,##0.00_-;_-&quot;R$&quot; * &quot;-&quot;??_-;_-@_-"/>
    <numFmt numFmtId="168" formatCode="0.0000&quot;%&quot;"/>
    <numFmt numFmtId="169" formatCode="0.00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8EDF3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7" fontId="0" fillId="0" borderId="1" pivotButton="0" quotePrefix="0" xfId="0"/>
    <xf numFmtId="167" fontId="2" fillId="0" borderId="1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vertical="top" wrapText="1"/>
    </xf>
    <xf numFmtId="166" fontId="0" fillId="0" borderId="1" pivotButton="0" quotePrefix="0" xfId="0"/>
    <xf numFmtId="168" fontId="0" fillId="0" borderId="1" pivotButton="0" quotePrefix="0" xfId="0"/>
    <xf numFmtId="169" fontId="0" fillId="0" borderId="1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>
      <c r="A1" s="1" t="inlineStr">
        <is>
          <t>Memória de Cálculo</t>
        </is>
      </c>
    </row>
    <row r="2">
      <c r="A2" s="2" t="inlineStr">
        <is>
          <t>Processo</t>
        </is>
      </c>
      <c r="B2" t="inlineStr">
        <is>
          <t>5239155-89.2024.8.13.0024</t>
        </is>
      </c>
    </row>
    <row r="3">
      <c r="A3" s="2" t="inlineStr">
        <is>
          <t>Vara/tribunal</t>
        </is>
      </c>
      <c r="B3" t="inlineStr">
        <is>
          <t>4ª Turma Recursal - BH (TESTE, datas presumidas)</t>
        </is>
      </c>
    </row>
    <row r="4">
      <c r="A4" s="2" t="inlineStr">
        <is>
          <t>Tipo</t>
        </is>
      </c>
      <c r="B4" t="inlineStr">
        <is>
          <t>teste da calculadora</t>
        </is>
      </c>
    </row>
    <row r="5">
      <c r="A5" s="2" t="inlineStr">
        <is>
          <t>Data do cálculo</t>
        </is>
      </c>
      <c r="B5" s="3" t="n">
        <v>46266</v>
      </c>
    </row>
    <row r="7">
      <c r="A7" s="4" t="inlineStr">
        <is>
          <t>Item</t>
        </is>
      </c>
      <c r="B7" s="4" t="inlineStr">
        <is>
          <t>Valor</t>
        </is>
      </c>
    </row>
    <row r="8">
      <c r="A8" s="5" t="inlineStr">
        <is>
          <t>Principal original</t>
        </is>
      </c>
      <c r="B8" s="6" t="n">
        <v>4200</v>
      </c>
    </row>
    <row r="9">
      <c r="A9" s="5" t="inlineStr">
        <is>
          <t>Correção monetária</t>
        </is>
      </c>
      <c r="B9" s="6" t="n">
        <v>369.5250950389</v>
      </c>
    </row>
    <row r="10">
      <c r="A10" s="5" t="inlineStr">
        <is>
          <t>Juros de mora</t>
        </is>
      </c>
      <c r="B10" s="6" t="n">
        <v>713.0134793113</v>
      </c>
    </row>
    <row r="11">
      <c r="A11" s="5" t="inlineStr">
        <is>
          <t>Multa</t>
        </is>
      </c>
      <c r="B11" s="6" t="n">
        <v>0</v>
      </c>
    </row>
    <row r="12">
      <c r="A12" s="5" t="inlineStr">
        <is>
          <t>Honorários</t>
        </is>
      </c>
      <c r="B12" s="6" t="n">
        <v>792.3807861525</v>
      </c>
    </row>
    <row r="13">
      <c r="A13" s="5" t="inlineStr">
        <is>
          <t>Abatimentos</t>
        </is>
      </c>
      <c r="B13" s="6" t="n">
        <v>0</v>
      </c>
    </row>
    <row r="14">
      <c r="A14" s="2" t="inlineStr">
        <is>
          <t>Total devido</t>
        </is>
      </c>
      <c r="B14" s="7">
        <f>SUM(B21:B22)+B11+B12</f>
        <v/>
      </c>
    </row>
    <row r="15">
      <c r="A15" t="inlineStr">
        <is>
          <t>Conferência: soma das linhas acima</t>
        </is>
      </c>
      <c r="B15" s="8">
        <f>SUM(B8:B13)</f>
        <v/>
      </c>
    </row>
    <row r="17">
      <c r="A17" s="2" t="inlineStr">
        <is>
          <t>Detalhe dos acessórios</t>
        </is>
      </c>
    </row>
    <row r="18">
      <c r="A18" t="inlineStr">
        <is>
          <t>Honorários de sucumbência</t>
        </is>
      </c>
      <c r="B18" s="8" t="n">
        <v>792.3807861525</v>
      </c>
    </row>
    <row r="20">
      <c r="A20" s="2" t="inlineStr">
        <is>
          <t>Total de cada parcela (das abas)</t>
        </is>
      </c>
    </row>
    <row r="21">
      <c r="A21" t="inlineStr">
        <is>
          <t>Reembolso UTI móvel</t>
        </is>
      </c>
      <c r="B21" s="8">
        <f>'P1 Reembolso UTI móvel'!J32</f>
        <v/>
      </c>
    </row>
    <row r="22">
      <c r="A22" t="inlineStr">
        <is>
          <t>Dano moral (arbitrado na sentença)</t>
        </is>
      </c>
      <c r="B22" s="8">
        <f>'P2 Dano moral (arbitrado na sen'!J28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110" customWidth="1" min="1" max="1"/>
    <col width="40" customWidth="1" min="2" max="2"/>
  </cols>
  <sheetData>
    <row r="1">
      <c r="A1" s="1" t="inlineStr">
        <is>
          <t>Critérios adotados</t>
        </is>
      </c>
    </row>
    <row r="3">
      <c r="A3" s="9" t="inlineStr">
        <is>
          <t>Cortes legais aplicados automaticamente: Lei 14.905/2024: até 08/2024 tabela do TJMG + juros de 1% a.m. (0,5% a.m. antes de 11/01/2003, CC/1916); desde 09/2024 IPCA + taxa legal (a lei vale desde 30/08/2024; sem pró-rata, agosto/2024 fica inteiro na regra anterior, como nas tabelas dos tribunais)</t>
        </is>
      </c>
    </row>
    <row r="4">
      <c r="A4" s="9" t="inlineStr">
        <is>
          <t>Reembolso UTI móvel (valor R$ 2.200,00, data-base 10/06/2024, natureza principal):</t>
        </is>
      </c>
    </row>
    <row r="5">
      <c r="A5" s="9" t="inlineStr">
        <is>
          <t xml:space="preserve">  Marcos: correção desde 10/06/2024; juros desde 10/10/2024 (citação — CC, art. 405)</t>
        </is>
      </c>
    </row>
    <row r="6">
      <c r="A6" s="9" t="inlineStr">
        <is>
          <t xml:space="preserve">  Período 1: 10/06/2024 a 31/08/2024 — tabela do TJMG, sem juros (antes do termo inicial dos juros). Base legal: sem juros antes do termo inicial dos juros; correção pelo índice do tribunal ou do título (tabela do TJMG)</t>
        </is>
      </c>
    </row>
    <row r="7">
      <c r="A7" s="9" t="inlineStr">
        <is>
          <t xml:space="preserve">  Período 2: 01/09/2024 a 09/10/2024 — IPCA, sem juros. Base legal: Lei 14.905/2024: CC, art. 389, p.ú. (correção pelo IPCA); sem juros antes do termo inicial dos juros</t>
        </is>
      </c>
    </row>
    <row r="8">
      <c r="A8" s="9" t="inlineStr">
        <is>
          <t xml:space="preserve">  Período 3: 10/10/2024 a 31/08/2026 — IPCA + taxa legal (juros simples). Base legal: Lei 14.905/2024: CC, art. 389, p.ú. (correção pelo IPCA) e art. 406 (juros pela taxa legal = SELIC − IPCA, piso zero; Res. CMN 5.171/2024, juros simples)</t>
        </is>
      </c>
    </row>
    <row r="9">
      <c r="A9" s="9" t="inlineStr">
        <is>
          <t xml:space="preserve">  Meses de mudança de regime: 10/2024 contado inteiro no período 3 (que começa em 10/10/2024)</t>
        </is>
      </c>
    </row>
    <row r="10">
      <c r="A10" s="9" t="inlineStr">
        <is>
          <t>Dano moral (arbitrado na sentença) (valor R$ 2.000,00, data-base 10/01/2025, natureza dano moral):</t>
        </is>
      </c>
    </row>
    <row r="11">
      <c r="A11" s="9" t="inlineStr">
        <is>
          <t xml:space="preserve">  Marcos: correção desde 10/01/2025 (arbitramento — STJ, Súmula 362); juros desde 10/10/2024 (citação — CC, art. 405)</t>
        </is>
      </c>
    </row>
    <row r="12">
      <c r="A12" s="9" t="inlineStr">
        <is>
          <t xml:space="preserve">  Período 1: 10/10/2024 a 09/01/2025 — sem correção + taxa legal (juros simples). Base legal: Lei 14.905/2024: CC, art. 406 (juros pela taxa legal = SELIC − IPCA, piso zero; Res. CMN 5.171/2024, juros simples); sem correção antes da data-base (dano moral: desde o arbitramento — STJ, Súmula 362)</t>
        </is>
      </c>
    </row>
    <row r="13">
      <c r="A13" s="9" t="inlineStr">
        <is>
          <t xml:space="preserve">  Período 2: 10/01/2025 a 31/08/2026 — IPCA + taxa legal (juros simples). Base legal: Lei 14.905/2024: CC, art. 389, p.ú. (correção pelo IPCA) e art. 406 (juros pela taxa legal = SELIC − IPCA, piso zero; Res. CMN 5.171/2024, juros simples)</t>
        </is>
      </c>
    </row>
    <row r="14">
      <c r="A14" s="9" t="inlineStr">
        <is>
          <t xml:space="preserve">  Meses de mudança de regime: 01/2025 contado inteiro no período 2 (que começa em 10/01/2025)</t>
        </is>
      </c>
    </row>
    <row r="15">
      <c r="A15" s="9" t="inlineStr">
        <is>
          <t>Pró-rata dia nos meses das pontas: não (meses cheios)</t>
        </is>
      </c>
    </row>
    <row r="16">
      <c r="A16" s="9" t="inlineStr">
        <is>
          <t>Convenção: corrigir de A até B acumula os índices dos meses de A (inclusive) até o mês anterior a B; juros percentuais contados nos mesmos meses (com pró-rata, ± dias/30); juros sobre o principal corrigido, sem capitalização (por isso os juros acumulados acompanham a correção do principal)</t>
        </is>
      </c>
    </row>
    <row r="17">
      <c r="A17" s="9" t="inlineStr">
        <is>
          <t>Honorários de sucumbência: 15% × R$ 5.282,54 (principal corrigido + juros) = R$ 792,38</t>
        </is>
      </c>
    </row>
    <row r="19">
      <c r="A19" s="2" t="inlineStr">
        <is>
          <t>Observações</t>
        </is>
      </c>
    </row>
    <row r="20">
      <c r="A20" s="9" t="inlineStr">
        <is>
          <t>• Juros cíveis de 11/01/2003 a 29/08/2024 a 1% a.m. (CC, art. 406, redação original; antes, 0,5% a.m. do CC/1916), critério adotado. Para título omisso, o STJ fixou a SELIC como taxa do art. 406 antes da Lei 14.905/2024 (Tema 1.368, repetitivo, 29/10/2025)</t>
        </is>
      </c>
    </row>
    <row r="21">
      <c r="A21" s="9" t="inlineStr">
        <is>
          <t>• Tabela do TJMG montada pela calculadora com índices oficiais (não é a tabela publicada pelo tribunal): IPC-r de 07/1994 a 06/1995 e INPC desde 07/1995 (a tabela do tribunal não adotou o IPCA)</t>
        </is>
      </c>
    </row>
    <row r="23">
      <c r="A23" s="4" t="inlineStr">
        <is>
          <t>Parâmetro</t>
        </is>
      </c>
      <c r="B23" s="4" t="inlineStr">
        <is>
          <t>Valor</t>
        </is>
      </c>
    </row>
    <row r="24">
      <c r="A24" t="inlineStr">
        <is>
          <t>Área (regras legais aplicadas)</t>
        </is>
      </c>
      <c r="B24" t="inlineStr">
        <is>
          <t>Cível</t>
        </is>
      </c>
    </row>
    <row r="25">
      <c r="A25" t="inlineStr">
        <is>
          <t>Data do cálculo (corrige até o mês anterior)</t>
        </is>
      </c>
      <c r="B25" t="inlineStr">
        <is>
          <t>01/09/2026</t>
        </is>
      </c>
    </row>
    <row r="26">
      <c r="A26" t="inlineStr">
        <is>
          <t>Data da citação</t>
        </is>
      </c>
      <c r="B26" t="inlineStr">
        <is>
          <t>10/10/2024</t>
        </is>
      </c>
    </row>
    <row r="27">
      <c r="A27" t="inlineStr">
        <is>
          <t>Trânsito em julgado</t>
        </is>
      </c>
      <c r="B27" t="inlineStr">
        <is>
          <t>—</t>
        </is>
      </c>
    </row>
    <row r="28">
      <c r="A28" t="inlineStr">
        <is>
          <t>Cortes legais automáticos</t>
        </is>
      </c>
      <c r="B28" t="inlineStr">
        <is>
          <t>sim</t>
        </is>
      </c>
    </row>
    <row r="29">
      <c r="A29" t="inlineStr">
        <is>
          <t>Pró-rata dia nos meses das pontas</t>
        </is>
      </c>
      <c r="B29" t="inlineStr">
        <is>
          <t>não</t>
        </is>
      </c>
    </row>
    <row r="30">
      <c r="A30" t="inlineStr">
        <is>
          <t>Multa contratual (%)</t>
        </is>
      </c>
      <c r="B30" t="inlineStr">
        <is>
          <t>—</t>
        </is>
      </c>
    </row>
    <row r="31">
      <c r="A31" t="inlineStr">
        <is>
          <t>Honorários de sucumbência (%)</t>
        </is>
      </c>
      <c r="B31" t="inlineStr">
        <is>
          <t>15%</t>
        </is>
      </c>
    </row>
    <row r="32">
      <c r="A32" t="inlineStr">
        <is>
          <t>Abatimentos</t>
        </is>
      </c>
      <c r="B32" t="inlineStr">
        <is>
          <t>nenhum</t>
        </is>
      </c>
    </row>
    <row r="33">
      <c r="A33" t="inlineStr">
        <is>
          <t>Mês sem índice: usar o último mês como projeção</t>
        </is>
      </c>
      <c r="B33" t="inlineStr">
        <is>
          <t>não</t>
        </is>
      </c>
    </row>
    <row r="34">
      <c r="A34" t="inlineStr">
        <is>
          <t>Responsabilidade</t>
        </is>
      </c>
      <c r="B34" t="inlineStr">
        <is>
          <t>contratual</t>
        </is>
      </c>
    </row>
    <row r="35">
      <c r="A35" t="inlineStr">
        <is>
          <t>Termo inicial dos juros</t>
        </is>
      </c>
      <c r="B35" t="inlineStr">
        <is>
          <t>padrão da área (citação; evento danoso no extracontratual)</t>
        </is>
      </c>
    </row>
    <row r="36">
      <c r="A36" t="inlineStr">
        <is>
          <t>Índice de correção cível até 29/08/2024</t>
        </is>
      </c>
      <c r="B36" t="inlineStr">
        <is>
          <t>tabela do TJMG</t>
        </is>
      </c>
    </row>
    <row r="37">
      <c r="A37" t="inlineStr">
        <is>
          <t>Índice de correção desde 30/08/2024</t>
        </is>
      </c>
      <c r="B37" t="inlineStr">
        <is>
          <t>IPCA</t>
        </is>
      </c>
    </row>
    <row r="38">
      <c r="A38" t="inlineStr">
        <is>
          <t>Juros cíveis até 29/08/2024</t>
        </is>
      </c>
      <c r="B38" t="inlineStr">
        <is>
          <t>1% a.m. (CC, art. 406, redação original; 0,5% a.m. antes de 11/01/2003)</t>
        </is>
      </c>
    </row>
    <row r="39">
      <c r="A39" t="inlineStr">
        <is>
          <t>Deflação não reduz o principal abaixo do nominal</t>
        </is>
      </c>
      <c r="B39" t="inlineStr">
        <is>
          <t>sim</t>
        </is>
      </c>
    </row>
    <row r="40">
      <c r="A40" t="inlineStr">
        <is>
          <t>Arredondamento (exato ou truncamentos do Manual CJF)</t>
        </is>
      </c>
      <c r="B40" t="inlineStr">
        <is>
          <t>exato (10 casas)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26" customWidth="1" min="3" max="3"/>
    <col width="15" customWidth="1" min="4" max="4"/>
    <col width="11" customWidth="1" min="5" max="5"/>
    <col width="14" customWidth="1" min="6" max="6"/>
    <col width="16" customWidth="1" min="7" max="7"/>
    <col width="11" customWidth="1" min="8" max="8"/>
    <col width="16" customWidth="1" min="9" max="9"/>
    <col width="16" customWidth="1" min="10" max="10"/>
    <col width="40" customWidth="1" min="11" max="11"/>
  </cols>
  <sheetData>
    <row r="1">
      <c r="A1" s="1" t="inlineStr">
        <is>
          <t>Reembolso UTI móvel</t>
        </is>
      </c>
    </row>
    <row r="2">
      <c r="A2" t="inlineStr">
        <is>
          <t>Valor original R$ 2.200,00 — data-base 10/06/2024 — natureza principal</t>
        </is>
      </c>
    </row>
    <row r="4">
      <c r="A4" s="4" t="inlineStr">
        <is>
          <t>Competência</t>
        </is>
      </c>
      <c r="B4" s="4" t="inlineStr">
        <is>
          <t>Período</t>
        </is>
      </c>
      <c r="C4" s="4" t="inlineStr">
        <is>
          <t>Índice</t>
        </is>
      </c>
      <c r="D4" s="4" t="inlineStr">
        <is>
          <t>Valor base</t>
        </is>
      </c>
      <c r="E4" s="4" t="inlineStr">
        <is>
          <t>Índice %</t>
        </is>
      </c>
      <c r="F4" s="4" t="inlineStr">
        <is>
          <t>Fator acumulado</t>
        </is>
      </c>
      <c r="G4" s="4" t="inlineStr">
        <is>
          <t>Valor corrigido</t>
        </is>
      </c>
      <c r="H4" s="4" t="inlineStr">
        <is>
          <t>Juros %</t>
        </is>
      </c>
      <c r="I4" s="4" t="inlineStr">
        <is>
          <t>Juros acumulados</t>
        </is>
      </c>
      <c r="J4" s="4" t="inlineStr">
        <is>
          <t>Subtotal</t>
        </is>
      </c>
      <c r="K4" s="4" t="inlineStr">
        <is>
          <t>Observação</t>
        </is>
      </c>
    </row>
    <row r="5">
      <c r="A5" s="10" t="n">
        <v>45444</v>
      </c>
      <c r="B5" s="5" t="n">
        <v>1</v>
      </c>
      <c r="C5" s="5" t="inlineStr">
        <is>
          <t>tabela do TJMG (INPC)</t>
        </is>
      </c>
      <c r="D5" s="6" t="n">
        <v>2200</v>
      </c>
      <c r="E5" s="11" t="n">
        <v>0.25</v>
      </c>
      <c r="F5" s="12" t="n">
        <v>1.0025</v>
      </c>
      <c r="G5" s="6">
        <f>D5*F5</f>
        <v/>
      </c>
      <c r="H5" s="11" t="n">
        <v>0</v>
      </c>
      <c r="I5" s="6" t="n">
        <v>0</v>
      </c>
      <c r="J5" s="6">
        <f>G5+I5</f>
        <v/>
      </c>
      <c r="K5" t="inlineStr"/>
    </row>
    <row r="6">
      <c r="A6" s="10" t="n">
        <v>45474</v>
      </c>
      <c r="B6" s="5" t="n">
        <v>1</v>
      </c>
      <c r="C6" s="5" t="inlineStr">
        <is>
          <t>tabela do TJMG (INPC)</t>
        </is>
      </c>
      <c r="D6" s="6" t="n">
        <v>2200</v>
      </c>
      <c r="E6" s="11" t="n">
        <v>0.26</v>
      </c>
      <c r="F6" s="12" t="n">
        <v>1.0051065</v>
      </c>
      <c r="G6" s="6">
        <f>D6*F6</f>
        <v/>
      </c>
      <c r="H6" s="11" t="n">
        <v>0</v>
      </c>
      <c r="I6" s="6" t="n">
        <v>0</v>
      </c>
      <c r="J6" s="6">
        <f>G6+I6</f>
        <v/>
      </c>
      <c r="K6" t="inlineStr"/>
    </row>
    <row r="7">
      <c r="A7" s="10" t="n">
        <v>45505</v>
      </c>
      <c r="B7" s="5" t="n">
        <v>1</v>
      </c>
      <c r="C7" s="5" t="inlineStr">
        <is>
          <t>tabela do TJMG (INPC)</t>
        </is>
      </c>
      <c r="D7" s="6" t="n">
        <v>2200</v>
      </c>
      <c r="E7" s="11" t="n">
        <v>-0.14</v>
      </c>
      <c r="F7" s="12" t="n">
        <v>1.0036993509</v>
      </c>
      <c r="G7" s="6">
        <f>D7*F7</f>
        <v/>
      </c>
      <c r="H7" s="11" t="n">
        <v>0</v>
      </c>
      <c r="I7" s="6" t="n">
        <v>0</v>
      </c>
      <c r="J7" s="6">
        <f>G7+I7</f>
        <v/>
      </c>
      <c r="K7" t="inlineStr"/>
    </row>
    <row r="8">
      <c r="A8" s="10" t="n">
        <v>45536</v>
      </c>
      <c r="B8" s="5" t="n">
        <v>2</v>
      </c>
      <c r="C8" s="5" t="inlineStr">
        <is>
          <t>IPCA</t>
        </is>
      </c>
      <c r="D8" s="6" t="n">
        <v>2200.0000000959</v>
      </c>
      <c r="E8" s="11" t="n">
        <v>0.44</v>
      </c>
      <c r="F8" s="12" t="n">
        <v>1.008115628</v>
      </c>
      <c r="G8" s="6">
        <f>D8*F8</f>
        <v/>
      </c>
      <c r="H8" s="11" t="n">
        <v>0</v>
      </c>
      <c r="I8" s="6" t="n">
        <v>0</v>
      </c>
      <c r="J8" s="6">
        <f>G8+I8</f>
        <v/>
      </c>
      <c r="K8" t="inlineStr"/>
    </row>
    <row r="9">
      <c r="A9" s="10" t="n">
        <v>45566</v>
      </c>
      <c r="B9" s="5" t="n">
        <v>3</v>
      </c>
      <c r="C9" s="5" t="inlineStr">
        <is>
          <t>IPCA</t>
        </is>
      </c>
      <c r="D9" s="6" t="n">
        <v>2200.0000001324</v>
      </c>
      <c r="E9" s="11" t="n">
        <v>0.5600000000000001</v>
      </c>
      <c r="F9" s="12" t="n">
        <v>1.0137610755</v>
      </c>
      <c r="G9" s="6">
        <f>D9*F9</f>
        <v/>
      </c>
      <c r="H9" s="11" t="n">
        <v>0.704241</v>
      </c>
      <c r="I9" s="6" t="n">
        <v>15.7065064995</v>
      </c>
      <c r="J9" s="6">
        <f>G9+I9</f>
        <v/>
      </c>
      <c r="K9" t="inlineStr"/>
    </row>
    <row r="10">
      <c r="A10" s="10" t="n">
        <v>45597</v>
      </c>
      <c r="B10" s="5" t="n">
        <v>3</v>
      </c>
      <c r="C10" s="5" t="inlineStr">
        <is>
          <t>IPCA</t>
        </is>
      </c>
      <c r="D10" s="6" t="n">
        <v>2200.0000001204</v>
      </c>
      <c r="E10" s="11" t="n">
        <v>0.39</v>
      </c>
      <c r="F10" s="12" t="n">
        <v>1.0177147437</v>
      </c>
      <c r="G10" s="6">
        <f>D10*F10</f>
        <v/>
      </c>
      <c r="H10" s="11" t="n">
        <v>0.385874</v>
      </c>
      <c r="I10" s="6" t="n">
        <v>24.4073743736</v>
      </c>
      <c r="J10" s="6">
        <f>G10+I10</f>
        <v/>
      </c>
      <c r="K10" t="inlineStr"/>
    </row>
    <row r="11">
      <c r="A11" s="10" t="n">
        <v>45627</v>
      </c>
      <c r="B11" s="5" t="n">
        <v>3</v>
      </c>
      <c r="C11" s="5" t="inlineStr">
        <is>
          <t>IPCA</t>
        </is>
      </c>
      <c r="D11" s="6" t="n">
        <v>2200.0000001194</v>
      </c>
      <c r="E11" s="11" t="n">
        <v>0.52</v>
      </c>
      <c r="F11" s="12" t="n">
        <v>1.0230068604</v>
      </c>
      <c r="G11" s="6">
        <f>D11*F11</f>
        <v/>
      </c>
      <c r="H11" s="11" t="n">
        <v>0.171924</v>
      </c>
      <c r="I11" s="6" t="n">
        <v>28.4036402136</v>
      </c>
      <c r="J11" s="6">
        <f>G11+I11</f>
        <v/>
      </c>
      <c r="K11" t="inlineStr"/>
    </row>
    <row r="12">
      <c r="A12" s="10" t="n">
        <v>45658</v>
      </c>
      <c r="B12" s="5" t="n">
        <v>3</v>
      </c>
      <c r="C12" s="5" t="inlineStr">
        <is>
          <t>IPCA</t>
        </is>
      </c>
      <c r="D12" s="6" t="n">
        <v>2200.0000001433</v>
      </c>
      <c r="E12" s="11" t="n">
        <v>0.16</v>
      </c>
      <c r="F12" s="12" t="n">
        <v>1.0246436714</v>
      </c>
      <c r="G12" s="6">
        <f>D12*F12</f>
        <v/>
      </c>
      <c r="H12" s="11" t="n">
        <v>0.589427</v>
      </c>
      <c r="I12" s="6" t="n">
        <v>41.7360442364</v>
      </c>
      <c r="J12" s="6">
        <f>G12+I12</f>
        <v/>
      </c>
      <c r="K12" t="inlineStr"/>
    </row>
    <row r="13">
      <c r="A13" s="10" t="n">
        <v>45689</v>
      </c>
      <c r="B13" s="5" t="n">
        <v>3</v>
      </c>
      <c r="C13" s="5" t="inlineStr">
        <is>
          <t>IPCA</t>
        </is>
      </c>
      <c r="D13" s="6" t="n">
        <v>2200.0000000476</v>
      </c>
      <c r="E13" s="11" t="n">
        <v>1.31</v>
      </c>
      <c r="F13" s="12" t="n">
        <v>1.0380665035</v>
      </c>
      <c r="G13" s="6">
        <f>D13*F13</f>
        <v/>
      </c>
      <c r="H13" s="11" t="n">
        <v>0.902209</v>
      </c>
      <c r="I13" s="6" t="n">
        <v>62.8869511399</v>
      </c>
      <c r="J13" s="6">
        <f>G13+I13</f>
        <v/>
      </c>
      <c r="K13" t="inlineStr"/>
    </row>
    <row r="14">
      <c r="A14" s="10" t="n">
        <v>45717</v>
      </c>
      <c r="B14" s="5" t="n">
        <v>3</v>
      </c>
      <c r="C14" s="5" t="inlineStr">
        <is>
          <t>IPCA</t>
        </is>
      </c>
      <c r="D14" s="6" t="n">
        <v>2200.0000001574</v>
      </c>
      <c r="E14" s="11" t="n">
        <v>0.5600000000000001</v>
      </c>
      <c r="F14" s="12" t="n">
        <v>1.0438796759</v>
      </c>
      <c r="G14" s="6">
        <f>D14*F14</f>
        <v/>
      </c>
      <c r="H14" s="11" t="n">
        <v>0</v>
      </c>
      <c r="I14" s="6" t="n">
        <v>63.2391180683</v>
      </c>
      <c r="J14" s="6">
        <f>G14+I14</f>
        <v/>
      </c>
      <c r="K14" t="inlineStr"/>
    </row>
    <row r="15">
      <c r="A15" s="10" t="n">
        <v>45748</v>
      </c>
      <c r="B15" s="5" t="n">
        <v>3</v>
      </c>
      <c r="C15" s="5" t="inlineStr">
        <is>
          <t>IPCA</t>
        </is>
      </c>
      <c r="D15" s="6" t="n">
        <v>2200.0000001956</v>
      </c>
      <c r="E15" s="11" t="n">
        <v>0.43</v>
      </c>
      <c r="F15" s="12" t="n">
        <v>1.0483683585</v>
      </c>
      <c r="G15" s="6">
        <f>D15*F15</f>
        <v/>
      </c>
      <c r="H15" s="11" t="n">
        <v>0.321969</v>
      </c>
      <c r="I15" s="6" t="n">
        <v>70.9369727417</v>
      </c>
      <c r="J15" s="6">
        <f>G15+I15</f>
        <v/>
      </c>
      <c r="K15" t="inlineStr"/>
    </row>
    <row r="16">
      <c r="A16" s="10" t="n">
        <v>45778</v>
      </c>
      <c r="B16" s="5" t="n">
        <v>3</v>
      </c>
      <c r="C16" s="5" t="inlineStr">
        <is>
          <t>IPCA</t>
        </is>
      </c>
      <c r="D16" s="6" t="n">
        <v>2200.000000098</v>
      </c>
      <c r="E16" s="11" t="n">
        <v>0.26</v>
      </c>
      <c r="F16" s="12" t="n">
        <v>1.0510941163</v>
      </c>
      <c r="G16" s="6">
        <f>D16*F16</f>
        <v/>
      </c>
      <c r="H16" s="11" t="n">
        <v>0.6232</v>
      </c>
      <c r="I16" s="6" t="n">
        <v>85.53232964510001</v>
      </c>
      <c r="J16" s="6">
        <f>G16+I16</f>
        <v/>
      </c>
      <c r="K16" t="inlineStr"/>
    </row>
    <row r="17">
      <c r="A17" s="10" t="n">
        <v>45809</v>
      </c>
      <c r="B17" s="5" t="n">
        <v>3</v>
      </c>
      <c r="C17" s="5" t="inlineStr">
        <is>
          <t>IPCA</t>
        </is>
      </c>
      <c r="D17" s="6" t="n">
        <v>2200.0000000605</v>
      </c>
      <c r="E17" s="11" t="n">
        <v>0.24</v>
      </c>
      <c r="F17" s="12" t="n">
        <v>1.0536167422</v>
      </c>
      <c r="G17" s="6">
        <f>D17*F17</f>
        <v/>
      </c>
      <c r="H17" s="11" t="n">
        <v>0.7759819999999999</v>
      </c>
      <c r="I17" s="6" t="n">
        <v>103.7245350276</v>
      </c>
      <c r="J17" s="6">
        <f>G17+I17</f>
        <v/>
      </c>
      <c r="K17" t="inlineStr"/>
    </row>
    <row r="18">
      <c r="A18" s="10" t="n">
        <v>45839</v>
      </c>
      <c r="B18" s="5" t="n">
        <v>3</v>
      </c>
      <c r="C18" s="5" t="inlineStr">
        <is>
          <t>IPCA</t>
        </is>
      </c>
      <c r="D18" s="6" t="n">
        <v>2200.0000000726</v>
      </c>
      <c r="E18" s="11" t="n">
        <v>0.26</v>
      </c>
      <c r="F18" s="12" t="n">
        <v>1.0563561457</v>
      </c>
      <c r="G18" s="6">
        <f>D18*F18</f>
        <v/>
      </c>
      <c r="H18" s="11" t="n">
        <v>0.83488</v>
      </c>
      <c r="I18" s="6" t="n">
        <v>123.3966924332</v>
      </c>
      <c r="J18" s="6">
        <f>G18+I18</f>
        <v/>
      </c>
      <c r="K18" t="inlineStr"/>
    </row>
    <row r="19">
      <c r="A19" s="10" t="n">
        <v>45870</v>
      </c>
      <c r="B19" s="5" t="n">
        <v>3</v>
      </c>
      <c r="C19" s="5" t="inlineStr">
        <is>
          <t>IPCA</t>
        </is>
      </c>
      <c r="D19" s="6" t="n">
        <v>2200.0000001219</v>
      </c>
      <c r="E19" s="11" t="n">
        <v>-0.11</v>
      </c>
      <c r="F19" s="12" t="n">
        <v>1.0551941539</v>
      </c>
      <c r="G19" s="6">
        <f>D19*F19</f>
        <v/>
      </c>
      <c r="H19" s="11" t="n">
        <v>0.942622</v>
      </c>
      <c r="I19" s="6" t="n">
        <v>145.1432389931</v>
      </c>
      <c r="J19" s="6">
        <f>G19+I19</f>
        <v/>
      </c>
      <c r="K19" t="inlineStr"/>
    </row>
    <row r="20">
      <c r="A20" s="10" t="n">
        <v>45901</v>
      </c>
      <c r="B20" s="5" t="n">
        <v>3</v>
      </c>
      <c r="C20" s="5" t="inlineStr">
        <is>
          <t>IPCA</t>
        </is>
      </c>
      <c r="D20" s="6" t="n">
        <v>2200.0000001112</v>
      </c>
      <c r="E20" s="11" t="n">
        <v>0.48</v>
      </c>
      <c r="F20" s="12" t="n">
        <v>1.0602590858</v>
      </c>
      <c r="G20" s="6">
        <f>D20*F20</f>
        <v/>
      </c>
      <c r="H20" s="11" t="n">
        <v>1.305984</v>
      </c>
      <c r="I20" s="6" t="n">
        <v>176.3029173778</v>
      </c>
      <c r="J20" s="6">
        <f>G20+I20</f>
        <v/>
      </c>
      <c r="K20" t="inlineStr"/>
    </row>
    <row r="21">
      <c r="A21" s="10" t="n">
        <v>45931</v>
      </c>
      <c r="B21" s="5" t="n">
        <v>3</v>
      </c>
      <c r="C21" s="5" t="inlineStr">
        <is>
          <t>IPCA</t>
        </is>
      </c>
      <c r="D21" s="6" t="n">
        <v>2200.0000000246</v>
      </c>
      <c r="E21" s="11" t="n">
        <v>0.09</v>
      </c>
      <c r="F21" s="12" t="n">
        <v>1.061213319</v>
      </c>
      <c r="G21" s="6">
        <f>D21*F21</f>
        <v/>
      </c>
      <c r="H21" s="11" t="n">
        <v>0.736394</v>
      </c>
      <c r="I21" s="6" t="n">
        <v>193.6539546587</v>
      </c>
      <c r="J21" s="6">
        <f>G21+I21</f>
        <v/>
      </c>
      <c r="K21" t="inlineStr"/>
    </row>
    <row r="22">
      <c r="A22" s="10" t="n">
        <v>45962</v>
      </c>
      <c r="B22" s="5" t="n">
        <v>3</v>
      </c>
      <c r="C22" s="5" t="inlineStr">
        <is>
          <t>IPCA</t>
        </is>
      </c>
      <c r="D22" s="6" t="n">
        <v>2200.0000001155</v>
      </c>
      <c r="E22" s="11" t="n">
        <v>0.18</v>
      </c>
      <c r="F22" s="12" t="n">
        <v>1.0631235029</v>
      </c>
      <c r="G22" s="6">
        <f>D22*F22</f>
        <v/>
      </c>
      <c r="H22" s="11" t="n">
        <v>1.093764</v>
      </c>
      <c r="I22" s="6" t="n">
        <v>219.5842685035</v>
      </c>
      <c r="J22" s="6">
        <f>G22+I22</f>
        <v/>
      </c>
      <c r="K22" t="inlineStr"/>
    </row>
    <row r="23">
      <c r="A23" s="10" t="n">
        <v>45992</v>
      </c>
      <c r="B23" s="5" t="n">
        <v>3</v>
      </c>
      <c r="C23" s="5" t="inlineStr">
        <is>
          <t>IPCA</t>
        </is>
      </c>
      <c r="D23" s="6" t="n">
        <v>2200.0000001355</v>
      </c>
      <c r="E23" s="11" t="n">
        <v>0.33</v>
      </c>
      <c r="F23" s="12" t="n">
        <v>1.0666318104</v>
      </c>
      <c r="G23" s="6">
        <f>D23*F23</f>
        <v/>
      </c>
      <c r="H23" s="11" t="n">
        <v>0.851001</v>
      </c>
      <c r="I23" s="6" t="n">
        <v>240.2784008007</v>
      </c>
      <c r="J23" s="6">
        <f>G23+I23</f>
        <v/>
      </c>
      <c r="K23" t="inlineStr"/>
    </row>
    <row r="24">
      <c r="A24" s="10" t="n">
        <v>46023</v>
      </c>
      <c r="B24" s="5" t="n">
        <v>3</v>
      </c>
      <c r="C24" s="5" t="inlineStr">
        <is>
          <t>IPCA</t>
        </is>
      </c>
      <c r="D24" s="6" t="n">
        <v>2200.0000001601</v>
      </c>
      <c r="E24" s="11" t="n">
        <v>0.33</v>
      </c>
      <c r="F24" s="12" t="n">
        <v>1.0701516954</v>
      </c>
      <c r="G24" s="6">
        <f>D24*F24</f>
        <v/>
      </c>
      <c r="H24" s="11" t="n">
        <v>0.96751</v>
      </c>
      <c r="I24" s="6" t="n">
        <v>263.8497338034</v>
      </c>
      <c r="J24" s="6">
        <f>G24+I24</f>
        <v/>
      </c>
      <c r="K24" t="inlineStr"/>
    </row>
    <row r="25">
      <c r="A25" s="10" t="n">
        <v>46054</v>
      </c>
      <c r="B25" s="5" t="n">
        <v>3</v>
      </c>
      <c r="C25" s="5" t="inlineStr">
        <is>
          <t>IPCA</t>
        </is>
      </c>
      <c r="D25" s="6" t="n">
        <v>2200.0000000704</v>
      </c>
      <c r="E25" s="11" t="n">
        <v>0.7</v>
      </c>
      <c r="F25" s="12" t="n">
        <v>1.0776427573</v>
      </c>
      <c r="G25" s="6">
        <f>D25*F25</f>
        <v/>
      </c>
      <c r="H25" s="11" t="n">
        <v>0.962232</v>
      </c>
      <c r="I25" s="6" t="n">
        <v>288.509413542</v>
      </c>
      <c r="J25" s="6">
        <f>G25+I25</f>
        <v/>
      </c>
      <c r="K25" t="inlineStr"/>
    </row>
    <row r="26">
      <c r="A26" s="10" t="n">
        <v>46082</v>
      </c>
      <c r="B26" s="5" t="n">
        <v>3</v>
      </c>
      <c r="C26" s="5" t="inlineStr">
        <is>
          <t>IPCA</t>
        </is>
      </c>
      <c r="D26" s="6" t="n">
        <v>2200.0000000888</v>
      </c>
      <c r="E26" s="11" t="n">
        <v>0.88</v>
      </c>
      <c r="F26" s="12" t="n">
        <v>1.0871260136</v>
      </c>
      <c r="G26" s="6">
        <f>D26*F26</f>
        <v/>
      </c>
      <c r="H26" s="11" t="n">
        <v>0.155714</v>
      </c>
      <c r="I26" s="6" t="n">
        <v>294.7724726752</v>
      </c>
      <c r="J26" s="6">
        <f>G26+I26</f>
        <v/>
      </c>
      <c r="K26" t="inlineStr"/>
    </row>
    <row r="27">
      <c r="A27" s="10" t="n">
        <v>46113</v>
      </c>
      <c r="B27" s="5" t="n">
        <v>3</v>
      </c>
      <c r="C27" s="5" t="inlineStr">
        <is>
          <t>IPCA</t>
        </is>
      </c>
      <c r="D27" s="6" t="n">
        <v>2200.0000000663</v>
      </c>
      <c r="E27" s="11" t="n">
        <v>0.67</v>
      </c>
      <c r="F27" s="12" t="n">
        <v>1.0944097579</v>
      </c>
      <c r="G27" s="6">
        <f>D27*F27</f>
        <v/>
      </c>
      <c r="H27" s="11" t="n">
        <v>0.768672</v>
      </c>
      <c r="I27" s="6" t="n">
        <v>315.2547752654</v>
      </c>
      <c r="J27" s="6">
        <f>G27+I27</f>
        <v/>
      </c>
      <c r="K27" t="inlineStr"/>
    </row>
    <row r="28">
      <c r="A28" s="10" t="n">
        <v>46143</v>
      </c>
      <c r="B28" s="5" t="n">
        <v>3</v>
      </c>
      <c r="C28" s="5" t="inlineStr">
        <is>
          <t>IPCA</t>
        </is>
      </c>
      <c r="D28" s="6" t="n">
        <v>2200.0000001916</v>
      </c>
      <c r="E28" s="11" t="n">
        <v>0.58</v>
      </c>
      <c r="F28" s="12" t="n">
        <v>1.1007573344</v>
      </c>
      <c r="G28" s="6">
        <f>D28*F28</f>
        <v/>
      </c>
      <c r="H28" s="11" t="n">
        <v>0.198293</v>
      </c>
      <c r="I28" s="6" t="n">
        <v>321.8852473832</v>
      </c>
      <c r="J28" s="6">
        <f>G28+I28</f>
        <v/>
      </c>
      <c r="K28" t="inlineStr"/>
    </row>
    <row r="29">
      <c r="A29" s="10" t="n">
        <v>46174</v>
      </c>
      <c r="B29" s="5" t="n">
        <v>3</v>
      </c>
      <c r="C29" s="5" t="inlineStr">
        <is>
          <t>IPCA</t>
        </is>
      </c>
      <c r="D29" s="6" t="n">
        <v>2200.0000001396</v>
      </c>
      <c r="E29" s="11" t="n">
        <v>0.16</v>
      </c>
      <c r="F29" s="12" t="n">
        <v>1.1025185462</v>
      </c>
      <c r="G29" s="6">
        <f>D29*F29</f>
        <v/>
      </c>
      <c r="H29" s="11" t="n">
        <v>0.450641</v>
      </c>
      <c r="I29" s="6" t="n">
        <v>333.330745115</v>
      </c>
      <c r="J29" s="6">
        <f>G29+I29</f>
        <v/>
      </c>
      <c r="K29" t="inlineStr"/>
    </row>
    <row r="30">
      <c r="A30" s="10" t="n">
        <v>46204</v>
      </c>
      <c r="B30" s="5" t="n">
        <v>3</v>
      </c>
      <c r="C30" s="5" t="inlineStr">
        <is>
          <t>IPCA</t>
        </is>
      </c>
      <c r="D30" s="6" t="n">
        <v>2200.000000179</v>
      </c>
      <c r="E30" s="11" t="n">
        <v>0.07000000000000001</v>
      </c>
      <c r="F30" s="12" t="n">
        <v>1.1032903092</v>
      </c>
      <c r="G30" s="6">
        <f>D30*F30</f>
        <v/>
      </c>
      <c r="H30" s="11" t="n">
        <v>0.706607</v>
      </c>
      <c r="I30" s="6" t="n">
        <v>350.7151150706</v>
      </c>
      <c r="J30" s="6">
        <f>G30+I30</f>
        <v/>
      </c>
      <c r="K30" t="inlineStr"/>
    </row>
    <row r="31">
      <c r="A31" s="10" t="n">
        <v>46235</v>
      </c>
      <c r="B31" s="5" t="n">
        <v>3</v>
      </c>
      <c r="C31" s="5" t="inlineStr">
        <is>
          <t>IPCA</t>
        </is>
      </c>
      <c r="D31" s="6" t="n">
        <v>2200.0000001809</v>
      </c>
      <c r="E31" s="11" t="n">
        <v>-0.32</v>
      </c>
      <c r="F31" s="12" t="n">
        <v>1.0997597802</v>
      </c>
      <c r="G31" s="6">
        <f>D31*F31</f>
        <v/>
      </c>
      <c r="H31" s="11" t="n">
        <v>1.154527</v>
      </c>
      <c r="I31" s="6" t="n">
        <v>377.5262786162</v>
      </c>
      <c r="J31" s="6">
        <f>G31+I31</f>
        <v/>
      </c>
      <c r="K31" t="inlineStr"/>
    </row>
    <row r="32">
      <c r="A32" s="2" t="inlineStr">
        <is>
          <t>Total da parcela</t>
        </is>
      </c>
      <c r="G32" s="7">
        <f>G31</f>
        <v/>
      </c>
      <c r="I32" s="7">
        <f>I31</f>
        <v/>
      </c>
      <c r="J32" s="7">
        <f>J31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26" customWidth="1" min="3" max="3"/>
    <col width="15" customWidth="1" min="4" max="4"/>
    <col width="11" customWidth="1" min="5" max="5"/>
    <col width="14" customWidth="1" min="6" max="6"/>
    <col width="16" customWidth="1" min="7" max="7"/>
    <col width="11" customWidth="1" min="8" max="8"/>
    <col width="16" customWidth="1" min="9" max="9"/>
    <col width="16" customWidth="1" min="10" max="10"/>
    <col width="40" customWidth="1" min="11" max="11"/>
  </cols>
  <sheetData>
    <row r="1">
      <c r="A1" s="1" t="inlineStr">
        <is>
          <t>Dano moral (arbitrado na sentença)</t>
        </is>
      </c>
    </row>
    <row r="2">
      <c r="A2" t="inlineStr">
        <is>
          <t>Valor original R$ 2.000,00 — data-base 10/01/2025 — natureza dano moral</t>
        </is>
      </c>
    </row>
    <row r="4">
      <c r="A4" s="4" t="inlineStr">
        <is>
          <t>Competência</t>
        </is>
      </c>
      <c r="B4" s="4" t="inlineStr">
        <is>
          <t>Período</t>
        </is>
      </c>
      <c r="C4" s="4" t="inlineStr">
        <is>
          <t>Índice</t>
        </is>
      </c>
      <c r="D4" s="4" t="inlineStr">
        <is>
          <t>Valor base</t>
        </is>
      </c>
      <c r="E4" s="4" t="inlineStr">
        <is>
          <t>Índice %</t>
        </is>
      </c>
      <c r="F4" s="4" t="inlineStr">
        <is>
          <t>Fator acumulado</t>
        </is>
      </c>
      <c r="G4" s="4" t="inlineStr">
        <is>
          <t>Valor corrigido</t>
        </is>
      </c>
      <c r="H4" s="4" t="inlineStr">
        <is>
          <t>Juros %</t>
        </is>
      </c>
      <c r="I4" s="4" t="inlineStr">
        <is>
          <t>Juros acumulados</t>
        </is>
      </c>
      <c r="J4" s="4" t="inlineStr">
        <is>
          <t>Subtotal</t>
        </is>
      </c>
      <c r="K4" s="4" t="inlineStr">
        <is>
          <t>Observação</t>
        </is>
      </c>
    </row>
    <row r="5">
      <c r="A5" s="10" t="n">
        <v>45566</v>
      </c>
      <c r="B5" s="5" t="n">
        <v>1</v>
      </c>
      <c r="C5" s="5" t="inlineStr"/>
      <c r="D5" s="6" t="n">
        <v>2000</v>
      </c>
      <c r="E5" s="11" t="n"/>
      <c r="F5" s="12" t="n">
        <v>1</v>
      </c>
      <c r="G5" s="6">
        <f>D5*F5</f>
        <v/>
      </c>
      <c r="H5" s="11" t="n">
        <v>0.704241</v>
      </c>
      <c r="I5" s="6" t="n">
        <v>14.08482</v>
      </c>
      <c r="J5" s="6">
        <f>G5+I5</f>
        <v/>
      </c>
      <c r="K5" t="inlineStr"/>
    </row>
    <row r="6">
      <c r="A6" s="10" t="n">
        <v>45597</v>
      </c>
      <c r="B6" s="5" t="n">
        <v>1</v>
      </c>
      <c r="C6" s="5" t="inlineStr"/>
      <c r="D6" s="6" t="n">
        <v>2000</v>
      </c>
      <c r="E6" s="11" t="n"/>
      <c r="F6" s="12" t="n">
        <v>1</v>
      </c>
      <c r="G6" s="6">
        <f>D6*F6</f>
        <v/>
      </c>
      <c r="H6" s="11" t="n">
        <v>0.385874</v>
      </c>
      <c r="I6" s="6" t="n">
        <v>21.8023</v>
      </c>
      <c r="J6" s="6">
        <f>G6+I6</f>
        <v/>
      </c>
      <c r="K6" t="inlineStr"/>
    </row>
    <row r="7">
      <c r="A7" s="10" t="n">
        <v>45627</v>
      </c>
      <c r="B7" s="5" t="n">
        <v>1</v>
      </c>
      <c r="C7" s="5" t="inlineStr"/>
      <c r="D7" s="6" t="n">
        <v>2000</v>
      </c>
      <c r="E7" s="11" t="n"/>
      <c r="F7" s="12" t="n">
        <v>1</v>
      </c>
      <c r="G7" s="6">
        <f>D7*F7</f>
        <v/>
      </c>
      <c r="H7" s="11" t="n">
        <v>0.171924</v>
      </c>
      <c r="I7" s="6" t="n">
        <v>25.24078</v>
      </c>
      <c r="J7" s="6">
        <f>G7+I7</f>
        <v/>
      </c>
      <c r="K7" t="inlineStr"/>
    </row>
    <row r="8">
      <c r="A8" s="10" t="n">
        <v>45658</v>
      </c>
      <c r="B8" s="5" t="n">
        <v>2</v>
      </c>
      <c r="C8" s="5" t="inlineStr">
        <is>
          <t>IPCA</t>
        </is>
      </c>
      <c r="D8" s="6" t="n">
        <v>2000</v>
      </c>
      <c r="E8" s="11" t="n">
        <v>0.16</v>
      </c>
      <c r="F8" s="12" t="n">
        <v>1.0016</v>
      </c>
      <c r="G8" s="6">
        <f>D8*F8</f>
        <v/>
      </c>
      <c r="H8" s="11" t="n">
        <v>0.589427</v>
      </c>
      <c r="I8" s="6" t="n">
        <v>37.088566912</v>
      </c>
      <c r="J8" s="6">
        <f>G8+I8</f>
        <v/>
      </c>
      <c r="K8" t="inlineStr"/>
    </row>
    <row r="9">
      <c r="A9" s="10" t="n">
        <v>45689</v>
      </c>
      <c r="B9" s="5" t="n">
        <v>2</v>
      </c>
      <c r="C9" s="5" t="inlineStr">
        <is>
          <t>IPCA</t>
        </is>
      </c>
      <c r="D9" s="6" t="n">
        <v>2000</v>
      </c>
      <c r="E9" s="11" t="n">
        <v>1.31</v>
      </c>
      <c r="F9" s="12" t="n">
        <v>1.01472096</v>
      </c>
      <c r="G9" s="6">
        <f>D9*F9</f>
        <v/>
      </c>
      <c r="H9" s="11" t="n">
        <v>0.902209</v>
      </c>
      <c r="I9" s="6" t="n">
        <v>55.8842347905</v>
      </c>
      <c r="J9" s="6">
        <f>G9+I9</f>
        <v/>
      </c>
      <c r="K9" t="inlineStr"/>
    </row>
    <row r="10">
      <c r="A10" s="10" t="n">
        <v>45717</v>
      </c>
      <c r="B10" s="5" t="n">
        <v>2</v>
      </c>
      <c r="C10" s="5" t="inlineStr">
        <is>
          <t>IPCA</t>
        </is>
      </c>
      <c r="D10" s="6" t="n">
        <v>2000</v>
      </c>
      <c r="E10" s="11" t="n">
        <v>0.5600000000000001</v>
      </c>
      <c r="F10" s="12" t="n">
        <v>1.0204033974</v>
      </c>
      <c r="G10" s="6">
        <f>D10*F10</f>
        <v/>
      </c>
      <c r="H10" s="11" t="n">
        <v>0</v>
      </c>
      <c r="I10" s="6" t="n">
        <v>56.1971865067</v>
      </c>
      <c r="J10" s="6">
        <f>G10+I10</f>
        <v/>
      </c>
      <c r="K10" t="inlineStr"/>
    </row>
    <row r="11">
      <c r="A11" s="10" t="n">
        <v>45748</v>
      </c>
      <c r="B11" s="5" t="n">
        <v>2</v>
      </c>
      <c r="C11" s="5" t="inlineStr">
        <is>
          <t>IPCA</t>
        </is>
      </c>
      <c r="D11" s="6" t="n">
        <v>2000</v>
      </c>
      <c r="E11" s="11" t="n">
        <v>0.43</v>
      </c>
      <c r="F11" s="12" t="n">
        <v>1.024791132</v>
      </c>
      <c r="G11" s="6">
        <f>D11*F11</f>
        <v/>
      </c>
      <c r="H11" s="11" t="n">
        <v>0.321969</v>
      </c>
      <c r="I11" s="6" t="n">
        <v>63.0378539278</v>
      </c>
      <c r="J11" s="6">
        <f>G11+I11</f>
        <v/>
      </c>
      <c r="K11" t="inlineStr"/>
    </row>
    <row r="12">
      <c r="A12" s="10" t="n">
        <v>45778</v>
      </c>
      <c r="B12" s="5" t="n">
        <v>2</v>
      </c>
      <c r="C12" s="5" t="inlineStr">
        <is>
          <t>IPCA</t>
        </is>
      </c>
      <c r="D12" s="6" t="n">
        <v>2000</v>
      </c>
      <c r="E12" s="11" t="n">
        <v>0.26</v>
      </c>
      <c r="F12" s="12" t="n">
        <v>1.0274555889</v>
      </c>
      <c r="G12" s="6">
        <f>D12*F12</f>
        <v/>
      </c>
      <c r="H12" s="11" t="n">
        <v>0.6232</v>
      </c>
      <c r="I12" s="6" t="n">
        <v>76.00795880539999</v>
      </c>
      <c r="J12" s="6">
        <f>G12+I12</f>
        <v/>
      </c>
      <c r="K12" t="inlineStr"/>
    </row>
    <row r="13">
      <c r="A13" s="10" t="n">
        <v>45809</v>
      </c>
      <c r="B13" s="5" t="n">
        <v>2</v>
      </c>
      <c r="C13" s="5" t="inlineStr">
        <is>
          <t>IPCA</t>
        </is>
      </c>
      <c r="D13" s="6" t="n">
        <v>2000</v>
      </c>
      <c r="E13" s="11" t="n">
        <v>0.24</v>
      </c>
      <c r="F13" s="12" t="n">
        <v>1.0299214823</v>
      </c>
      <c r="G13" s="6">
        <f>D13*F13</f>
        <v/>
      </c>
      <c r="H13" s="11" t="n">
        <v>0.7759819999999999</v>
      </c>
      <c r="I13" s="6" t="n">
        <v>92.17438853909999</v>
      </c>
      <c r="J13" s="6">
        <f>G13+I13</f>
        <v/>
      </c>
      <c r="K13" t="inlineStr"/>
    </row>
    <row r="14">
      <c r="A14" s="10" t="n">
        <v>45839</v>
      </c>
      <c r="B14" s="5" t="n">
        <v>2</v>
      </c>
      <c r="C14" s="5" t="inlineStr">
        <is>
          <t>IPCA</t>
        </is>
      </c>
      <c r="D14" s="6" t="n">
        <v>2000</v>
      </c>
      <c r="E14" s="11" t="n">
        <v>0.26</v>
      </c>
      <c r="F14" s="12" t="n">
        <v>1.0325992782</v>
      </c>
      <c r="G14" s="6">
        <f>D14*F14</f>
        <v/>
      </c>
      <c r="H14" s="11" t="n">
        <v>0.83488</v>
      </c>
      <c r="I14" s="6" t="n">
        <v>109.6559716611</v>
      </c>
      <c r="J14" s="6">
        <f>G14+I14</f>
        <v/>
      </c>
      <c r="K14" t="inlineStr"/>
    </row>
    <row r="15">
      <c r="A15" s="10" t="n">
        <v>45870</v>
      </c>
      <c r="B15" s="5" t="n">
        <v>2</v>
      </c>
      <c r="C15" s="5" t="inlineStr">
        <is>
          <t>IPCA</t>
        </is>
      </c>
      <c r="D15" s="6" t="n">
        <v>2000</v>
      </c>
      <c r="E15" s="11" t="n">
        <v>-0.11</v>
      </c>
      <c r="F15" s="12" t="n">
        <v>1.031463419</v>
      </c>
      <c r="G15" s="6">
        <f>D15*F15</f>
        <v/>
      </c>
      <c r="H15" s="11" t="n">
        <v>0.942622</v>
      </c>
      <c r="I15" s="6" t="n">
        <v>128.9809523118</v>
      </c>
      <c r="J15" s="6">
        <f>G15+I15</f>
        <v/>
      </c>
      <c r="K15" t="inlineStr"/>
    </row>
    <row r="16">
      <c r="A16" s="10" t="n">
        <v>45901</v>
      </c>
      <c r="B16" s="5" t="n">
        <v>2</v>
      </c>
      <c r="C16" s="5" t="inlineStr">
        <is>
          <t>IPCA</t>
        </is>
      </c>
      <c r="D16" s="6" t="n">
        <v>2000</v>
      </c>
      <c r="E16" s="11" t="n">
        <v>0.48</v>
      </c>
      <c r="F16" s="12" t="n">
        <v>1.0364144434</v>
      </c>
      <c r="G16" s="6">
        <f>D16*F16</f>
        <v/>
      </c>
      <c r="H16" s="11" t="n">
        <v>1.305984</v>
      </c>
      <c r="I16" s="6" t="n">
        <v>156.6708744905</v>
      </c>
      <c r="J16" s="6">
        <f>G16+I16</f>
        <v/>
      </c>
      <c r="K16" t="inlineStr"/>
    </row>
    <row r="17">
      <c r="A17" s="10" t="n">
        <v>45931</v>
      </c>
      <c r="B17" s="5" t="n">
        <v>2</v>
      </c>
      <c r="C17" s="5" t="inlineStr">
        <is>
          <t>IPCA</t>
        </is>
      </c>
      <c r="D17" s="6" t="n">
        <v>2000</v>
      </c>
      <c r="E17" s="11" t="n">
        <v>0.09</v>
      </c>
      <c r="F17" s="12" t="n">
        <v>1.0373472164</v>
      </c>
      <c r="G17" s="6">
        <f>D17*F17</f>
        <v/>
      </c>
      <c r="H17" s="11" t="n">
        <v>0.736394</v>
      </c>
      <c r="I17" s="6" t="n">
        <v>172.0898035992</v>
      </c>
      <c r="J17" s="6">
        <f>G17+I17</f>
        <v/>
      </c>
      <c r="K17" t="inlineStr"/>
    </row>
    <row r="18">
      <c r="A18" s="10" t="n">
        <v>45962</v>
      </c>
      <c r="B18" s="5" t="n">
        <v>2</v>
      </c>
      <c r="C18" s="5" t="inlineStr">
        <is>
          <t>IPCA</t>
        </is>
      </c>
      <c r="D18" s="6" t="n">
        <v>2000</v>
      </c>
      <c r="E18" s="11" t="n">
        <v>0.18</v>
      </c>
      <c r="F18" s="12" t="n">
        <v>1.0392144414</v>
      </c>
      <c r="G18" s="6">
        <f>D18*F18</f>
        <v/>
      </c>
      <c r="H18" s="11" t="n">
        <v>1.093764</v>
      </c>
      <c r="I18" s="6" t="n">
        <v>195.132672133</v>
      </c>
      <c r="J18" s="6">
        <f>G18+I18</f>
        <v/>
      </c>
      <c r="K18" t="inlineStr"/>
    </row>
    <row r="19">
      <c r="A19" s="10" t="n">
        <v>45992</v>
      </c>
      <c r="B19" s="5" t="n">
        <v>2</v>
      </c>
      <c r="C19" s="5" t="inlineStr">
        <is>
          <t>IPCA</t>
        </is>
      </c>
      <c r="D19" s="6" t="n">
        <v>2000</v>
      </c>
      <c r="E19" s="11" t="n">
        <v>0.33</v>
      </c>
      <c r="F19" s="12" t="n">
        <v>1.0426438491</v>
      </c>
      <c r="G19" s="6">
        <f>D19*F19</f>
        <v/>
      </c>
      <c r="H19" s="11" t="n">
        <v>0.851001</v>
      </c>
      <c r="I19" s="6" t="n">
        <v>213.5224291238</v>
      </c>
      <c r="J19" s="6">
        <f>G19+I19</f>
        <v/>
      </c>
      <c r="K19" t="inlineStr"/>
    </row>
    <row r="20">
      <c r="A20" s="10" t="n">
        <v>46023</v>
      </c>
      <c r="B20" s="5" t="n">
        <v>2</v>
      </c>
      <c r="C20" s="5" t="inlineStr">
        <is>
          <t>IPCA</t>
        </is>
      </c>
      <c r="D20" s="6" t="n">
        <v>2000</v>
      </c>
      <c r="E20" s="11" t="n">
        <v>0.33</v>
      </c>
      <c r="F20" s="12" t="n">
        <v>1.0460845738</v>
      </c>
      <c r="G20" s="6">
        <f>D20*F20</f>
        <v/>
      </c>
      <c r="H20" s="11" t="n">
        <v>0.96751</v>
      </c>
      <c r="I20" s="6" t="n">
        <v>234.4689988594</v>
      </c>
      <c r="J20" s="6">
        <f>G20+I20</f>
        <v/>
      </c>
      <c r="K20" t="inlineStr"/>
    </row>
    <row r="21">
      <c r="A21" s="10" t="n">
        <v>46054</v>
      </c>
      <c r="B21" s="5" t="n">
        <v>2</v>
      </c>
      <c r="C21" s="5" t="inlineStr">
        <is>
          <t>IPCA</t>
        </is>
      </c>
      <c r="D21" s="6" t="n">
        <v>2000</v>
      </c>
      <c r="E21" s="11" t="n">
        <v>0.7</v>
      </c>
      <c r="F21" s="12" t="n">
        <v>1.0534071658</v>
      </c>
      <c r="G21" s="6">
        <f>D21*F21</f>
        <v/>
      </c>
      <c r="H21" s="11" t="n">
        <v>0.962232</v>
      </c>
      <c r="I21" s="6" t="n">
        <v>256.3827235269</v>
      </c>
      <c r="J21" s="6">
        <f>G21+I21</f>
        <v/>
      </c>
      <c r="K21" t="inlineStr"/>
    </row>
    <row r="22">
      <c r="A22" s="10" t="n">
        <v>46082</v>
      </c>
      <c r="B22" s="5" t="n">
        <v>2</v>
      </c>
      <c r="C22" s="5" t="inlineStr">
        <is>
          <t>IPCA</t>
        </is>
      </c>
      <c r="D22" s="6" t="n">
        <v>2000</v>
      </c>
      <c r="E22" s="11" t="n">
        <v>0.88</v>
      </c>
      <c r="F22" s="12" t="n">
        <v>1.0626771489</v>
      </c>
      <c r="G22" s="6">
        <f>D22*F22</f>
        <v/>
      </c>
      <c r="H22" s="11" t="n">
        <v>0.155714</v>
      </c>
      <c r="I22" s="6" t="n">
        <v>261.9483656952</v>
      </c>
      <c r="J22" s="6">
        <f>G22+I22</f>
        <v/>
      </c>
      <c r="K22" t="inlineStr"/>
    </row>
    <row r="23">
      <c r="A23" s="10" t="n">
        <v>46113</v>
      </c>
      <c r="B23" s="5" t="n">
        <v>2</v>
      </c>
      <c r="C23" s="5" t="inlineStr">
        <is>
          <t>IPCA</t>
        </is>
      </c>
      <c r="D23" s="6" t="n">
        <v>2000</v>
      </c>
      <c r="E23" s="11" t="n">
        <v>0.67</v>
      </c>
      <c r="F23" s="12" t="n">
        <v>1.0697970858</v>
      </c>
      <c r="G23" s="6">
        <f>D23*F23</f>
        <v/>
      </c>
      <c r="H23" s="11" t="n">
        <v>0.768672</v>
      </c>
      <c r="I23" s="6" t="n">
        <v>280.1498810567</v>
      </c>
      <c r="J23" s="6">
        <f>G23+I23</f>
        <v/>
      </c>
      <c r="K23" t="inlineStr"/>
    </row>
    <row r="24">
      <c r="A24" s="10" t="n">
        <v>46143</v>
      </c>
      <c r="B24" s="5" t="n">
        <v>2</v>
      </c>
      <c r="C24" s="5" t="inlineStr">
        <is>
          <t>IPCA</t>
        </is>
      </c>
      <c r="D24" s="6" t="n">
        <v>2000</v>
      </c>
      <c r="E24" s="11" t="n">
        <v>0.58</v>
      </c>
      <c r="F24" s="12" t="n">
        <v>1.0760019089</v>
      </c>
      <c r="G24" s="6">
        <f>D24*F24</f>
        <v/>
      </c>
      <c r="H24" s="11" t="n">
        <v>0.198293</v>
      </c>
      <c r="I24" s="6" t="n">
        <v>286.0420232978</v>
      </c>
      <c r="J24" s="6">
        <f>G24+I24</f>
        <v/>
      </c>
      <c r="K24" t="inlineStr"/>
    </row>
    <row r="25">
      <c r="A25" s="10" t="n">
        <v>46174</v>
      </c>
      <c r="B25" s="5" t="n">
        <v>2</v>
      </c>
      <c r="C25" s="5" t="inlineStr">
        <is>
          <t>IPCA</t>
        </is>
      </c>
      <c r="D25" s="6" t="n">
        <v>2000</v>
      </c>
      <c r="E25" s="11" t="n">
        <v>0.16</v>
      </c>
      <c r="F25" s="12" t="n">
        <v>1.077723512</v>
      </c>
      <c r="G25" s="6">
        <f>D25*F25</f>
        <v/>
      </c>
      <c r="H25" s="11" t="n">
        <v>0.450641</v>
      </c>
      <c r="I25" s="6" t="n">
        <v>296.2130185707</v>
      </c>
      <c r="J25" s="6">
        <f>G25+I25</f>
        <v/>
      </c>
      <c r="K25" t="inlineStr"/>
    </row>
    <row r="26">
      <c r="A26" s="10" t="n">
        <v>46204</v>
      </c>
      <c r="B26" s="5" t="n">
        <v>2</v>
      </c>
      <c r="C26" s="5" t="inlineStr">
        <is>
          <t>IPCA</t>
        </is>
      </c>
      <c r="D26" s="6" t="n">
        <v>2000</v>
      </c>
      <c r="E26" s="11" t="n">
        <v>0.07000000000000001</v>
      </c>
      <c r="F26" s="12" t="n">
        <v>1.0784779185</v>
      </c>
      <c r="G26" s="6">
        <f>D26*F26</f>
        <v/>
      </c>
      <c r="H26" s="11" t="n">
        <v>0.706607</v>
      </c>
      <c r="I26" s="6" t="n">
        <v>311.6615686263</v>
      </c>
      <c r="J26" s="6">
        <f>G26+I26</f>
        <v/>
      </c>
      <c r="K26" t="inlineStr"/>
    </row>
    <row r="27">
      <c r="A27" s="10" t="n">
        <v>46235</v>
      </c>
      <c r="B27" s="5" t="n">
        <v>2</v>
      </c>
      <c r="C27" s="5" t="inlineStr">
        <is>
          <t>IPCA</t>
        </is>
      </c>
      <c r="D27" s="6" t="n">
        <v>2000</v>
      </c>
      <c r="E27" s="11" t="n">
        <v>-0.32</v>
      </c>
      <c r="F27" s="12" t="n">
        <v>1.0750267892</v>
      </c>
      <c r="G27" s="6">
        <f>D27*F27</f>
        <v/>
      </c>
      <c r="H27" s="11" t="n">
        <v>1.154527</v>
      </c>
      <c r="I27" s="6" t="n">
        <v>335.4872006951</v>
      </c>
      <c r="J27" s="6">
        <f>G27+I27</f>
        <v/>
      </c>
      <c r="K27" t="inlineStr"/>
    </row>
    <row r="28">
      <c r="A28" s="2" t="inlineStr">
        <is>
          <t>Total da parcela</t>
        </is>
      </c>
      <c r="G28" s="7">
        <f>G27</f>
        <v/>
      </c>
      <c r="I28" s="7">
        <f>I27</f>
        <v/>
      </c>
      <c r="J28" s="7">
        <f>J27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14" customWidth="1" min="9" max="9"/>
  </cols>
  <sheetData>
    <row r="1">
      <c r="A1" s="4" t="inlineStr">
        <is>
          <t>Data</t>
        </is>
      </c>
      <c r="B1" s="4" t="inlineStr">
        <is>
          <t>Descrição</t>
        </is>
      </c>
      <c r="C1" s="4" t="inlineStr">
        <is>
          <t>Saldo antes</t>
        </is>
      </c>
      <c r="D1" s="4" t="inlineStr">
        <is>
          <t>Valor abatido</t>
        </is>
      </c>
      <c r="E1" s="4" t="inlineStr">
        <is>
          <t>Juros imputados</t>
        </is>
      </c>
      <c r="F1" s="4" t="inlineStr">
        <is>
          <t>Capital imputado</t>
        </is>
      </c>
      <c r="G1" s="4" t="inlineStr">
        <is>
          <t>Imputação</t>
        </is>
      </c>
      <c r="H1" s="4" t="inlineStr">
        <is>
          <t>Saldo após</t>
        </is>
      </c>
      <c r="I1" s="4" t="inlineStr">
        <is>
          <t>Excedente</t>
        </is>
      </c>
    </row>
    <row r="2">
      <c r="A2" t="inlineStr">
        <is>
          <t>Nenhum pagamento ou abatimento informado.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30" customWidth="1" min="3" max="3"/>
    <col width="50" customWidth="1" min="4" max="4"/>
    <col width="14" customWidth="1" min="5" max="5"/>
    <col width="12" customWidth="1" min="6" max="6"/>
    <col width="12" customWidth="1" min="7" max="7"/>
    <col width="20" customWidth="1" min="8" max="8"/>
  </cols>
  <sheetData>
    <row r="1">
      <c r="A1" s="4" t="inlineStr">
        <is>
          <t>Índice</t>
        </is>
      </c>
      <c r="B1" s="4" t="inlineStr">
        <is>
          <t>Nome</t>
        </is>
      </c>
      <c r="C1" s="4" t="inlineStr">
        <is>
          <t>Órgão/fonte</t>
        </is>
      </c>
      <c r="D1" s="4" t="inlineStr">
        <is>
          <t>URL</t>
        </is>
      </c>
      <c r="E1" s="4" t="inlineStr">
        <is>
          <t>Data de coleta</t>
        </is>
      </c>
      <c r="F1" s="4" t="inlineStr">
        <is>
          <t>Primeiro mês</t>
        </is>
      </c>
      <c r="G1" s="4" t="inlineStr">
        <is>
          <t>Último mês</t>
        </is>
      </c>
      <c r="H1" s="4" t="inlineStr">
        <is>
          <t>Projeção</t>
        </is>
      </c>
    </row>
    <row r="2">
      <c r="A2" t="inlineStr">
        <is>
          <t>INPC</t>
        </is>
      </c>
      <c r="B2" t="inlineStr">
        <is>
          <t>INPC — variação mensal (IBGE)</t>
        </is>
      </c>
      <c r="C2" t="inlineStr">
        <is>
          <t>BCB SGS 188</t>
        </is>
      </c>
      <c r="D2" t="inlineStr">
        <is>
          <t>https://api.bcb.gov.br/dados/serie/bcdata.sgs.188/dados?formato=json</t>
        </is>
      </c>
      <c r="E2" s="13" t="n">
        <v>46296</v>
      </c>
      <c r="F2" s="14" t="n">
        <v>45444</v>
      </c>
      <c r="G2" s="14" t="n">
        <v>45505</v>
      </c>
      <c r="H2" t="inlineStr"/>
    </row>
    <row r="3">
      <c r="A3" t="inlineStr">
        <is>
          <t>IPCA</t>
        </is>
      </c>
      <c r="B3" t="inlineStr">
        <is>
          <t>IPCA — variação mensal (IBGE)</t>
        </is>
      </c>
      <c r="C3" t="inlineStr">
        <is>
          <t>BCB SGS 433</t>
        </is>
      </c>
      <c r="D3" t="inlineStr">
        <is>
          <t>https://api.bcb.gov.br/dados/serie/bcdata.sgs.433/dados?formato=json</t>
        </is>
      </c>
      <c r="E3" s="13" t="n">
        <v>46296</v>
      </c>
      <c r="F3" s="14" t="n">
        <v>45536</v>
      </c>
      <c r="G3" s="14" t="n">
        <v>46235</v>
      </c>
      <c r="H3" t="inlineStr"/>
    </row>
    <row r="4">
      <c r="A4" t="inlineStr">
        <is>
          <t>taxa legal</t>
        </is>
      </c>
      <c r="B4" t="inlineStr">
        <is>
          <t>Taxa legal — art. 406 CC (Res. CMN 5.171/2024)</t>
        </is>
      </c>
      <c r="C4" t="inlineStr">
        <is>
          <t>BCB SGS 29543</t>
        </is>
      </c>
      <c r="D4" t="inlineStr">
        <is>
          <t>https://api.bcb.gov.br/dados/serie/bcdata.sgs.29543/dados?formato=json</t>
        </is>
      </c>
      <c r="E4" s="13" t="n">
        <v>46296</v>
      </c>
      <c r="F4" s="14" t="n">
        <v>45566</v>
      </c>
      <c r="G4" s="14" t="n">
        <v>46235</v>
      </c>
      <c r="H4" t="inlineStr"/>
    </row>
    <row r="5">
      <c r="A5" t="inlineStr">
        <is>
          <t>tabela do TJMG</t>
        </is>
      </c>
      <c r="B5" t="inlineStr">
        <is>
          <t>Tabela do TJMG montada pela calculadora com índices oficiais (não é a tabela publicada pelo tribunal): IPC-r de 07/1994 a 06/1995 e INPC desde 07/1995 (a tabela do tribunal não adotou o IPCA)</t>
        </is>
      </c>
      <c r="C5" t="inlineStr">
        <is>
          <t>Montada pela calculadora conforme fator de atualização monetária da CGJ-MG (comunicado mensal no DJe): IPC-r (IBGE) e INPC (BCB SGS 188)</t>
        </is>
      </c>
      <c r="D5" t="inlineStr">
        <is>
          <t>https://www.tjmg.jus.br/portal-tjmg/processos/indicadores/fator-de-atualizacao-monetaria.htm</t>
        </is>
      </c>
      <c r="E5" s="13" t="n">
        <v>46296</v>
      </c>
      <c r="F5" s="14" t="n">
        <v>45444</v>
      </c>
      <c r="G5" s="14" t="n">
        <v>45505</v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2026-10-05T15:22:46Z</dcterms:created>
  <dcterms:modified xsi:type="dcterms:W3CDTF">2026-10-05T15:22:47Z</dcterms:modified>
</cp:coreProperties>
</file>